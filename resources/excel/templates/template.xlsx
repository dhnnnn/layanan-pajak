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F\Downloads\"/>
    </mc:Choice>
  </mc:AlternateContent>
  <xr:revisionPtr revIDLastSave="0" documentId="13_ncr:1_{FF3A6D3E-2AC2-4734-B9E6-5B1762F61470}" xr6:coauthVersionLast="47" xr6:coauthVersionMax="47" xr10:uidLastSave="{00000000-0000-0000-0000-000000000000}"/>
  <bookViews>
    <workbookView xWindow="-110" yWindow="-110" windowWidth="25820" windowHeight="16220" xr2:uid="{E8DF4A75-1B69-491C-B3C8-61A2069E5FF5}"/>
  </bookViews>
  <sheets>
    <sheet name="2026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J4" i="1"/>
  <c r="N3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J5" i="1"/>
  <c r="J6" i="1"/>
  <c r="J7" i="1"/>
  <c r="J8" i="1"/>
  <c r="J9" i="1"/>
  <c r="J10" i="1"/>
  <c r="J11" i="1"/>
  <c r="J12" i="1"/>
  <c r="J13" i="1"/>
  <c r="J14" i="1"/>
  <c r="J15" i="1"/>
  <c r="J16" i="1"/>
  <c r="J3" i="1"/>
  <c r="F5" i="1"/>
  <c r="F6" i="1"/>
  <c r="F7" i="1"/>
  <c r="F8" i="1"/>
  <c r="F9" i="1"/>
  <c r="F10" i="1"/>
  <c r="F11" i="1"/>
  <c r="F12" i="1"/>
  <c r="F13" i="1"/>
  <c r="F14" i="1"/>
  <c r="F15" i="1"/>
  <c r="F16" i="1"/>
  <c r="F3" i="1"/>
  <c r="Q9" i="1"/>
  <c r="M9" i="1"/>
  <c r="I9" i="1"/>
  <c r="E9" i="1"/>
  <c r="M3" i="1"/>
  <c r="I3" i="1"/>
  <c r="O4" i="1"/>
  <c r="G4" i="1"/>
  <c r="Q3" i="1"/>
  <c r="E3" i="1"/>
  <c r="O16" i="1"/>
  <c r="K16" i="1"/>
  <c r="G16" i="1"/>
  <c r="C16" i="1"/>
  <c r="O15" i="1"/>
  <c r="K15" i="1"/>
  <c r="G15" i="1"/>
  <c r="C15" i="1"/>
  <c r="O14" i="1"/>
  <c r="K14" i="1"/>
  <c r="G14" i="1"/>
  <c r="C14" i="1"/>
  <c r="O13" i="1"/>
  <c r="K13" i="1"/>
  <c r="G13" i="1"/>
  <c r="C13" i="1"/>
  <c r="O12" i="1"/>
  <c r="K12" i="1"/>
  <c r="G12" i="1"/>
  <c r="C12" i="1"/>
  <c r="O11" i="1"/>
  <c r="K11" i="1"/>
  <c r="G11" i="1"/>
  <c r="C11" i="1"/>
  <c r="O10" i="1"/>
  <c r="K10" i="1"/>
  <c r="G10" i="1"/>
  <c r="C10" i="1"/>
  <c r="B9" i="1"/>
  <c r="B3" i="1" s="1"/>
  <c r="O8" i="1"/>
  <c r="K8" i="1"/>
  <c r="G8" i="1"/>
  <c r="C8" i="1"/>
  <c r="O7" i="1"/>
  <c r="K7" i="1"/>
  <c r="G7" i="1"/>
  <c r="C7" i="1"/>
  <c r="O6" i="1"/>
  <c r="K6" i="1"/>
  <c r="G6" i="1"/>
  <c r="C6" i="1"/>
  <c r="O5" i="1"/>
  <c r="K5" i="1"/>
  <c r="G5" i="1"/>
  <c r="C5" i="1"/>
  <c r="K4" i="1"/>
  <c r="C4" i="1"/>
  <c r="K9" i="1" l="1"/>
  <c r="C9" i="1"/>
  <c r="D9" i="1" s="1"/>
  <c r="G9" i="1"/>
  <c r="H9" i="1" s="1"/>
  <c r="O9" i="1"/>
  <c r="P9" i="1" s="1"/>
  <c r="K3" i="1" l="1"/>
  <c r="L3" i="1" s="1"/>
  <c r="L9" i="1"/>
  <c r="G3" i="1"/>
  <c r="H3" i="1" s="1"/>
  <c r="C3" i="1"/>
  <c r="D3" i="1" s="1"/>
  <c r="O3" i="1"/>
  <c r="P3" i="1" s="1"/>
</calcChain>
</file>

<file path=xl/sharedStrings.xml><?xml version="1.0" encoding="utf-8"?>
<sst xmlns="http://schemas.openxmlformats.org/spreadsheetml/2006/main" count="40" uniqueCount="26">
  <si>
    <t>URAIAN</t>
  </si>
  <si>
    <t>TARGET APBD 2026</t>
  </si>
  <si>
    <t>S.D. TRIBULAN I</t>
  </si>
  <si>
    <t>%</t>
  </si>
  <si>
    <t>S.D. TRIBULAN II</t>
  </si>
  <si>
    <t>S.D. TRIBULAN III</t>
  </si>
  <si>
    <t>S.D. TRIBULAN IV</t>
  </si>
  <si>
    <t>PAJAK DAERAH</t>
  </si>
  <si>
    <t>Pajak Reklame</t>
  </si>
  <si>
    <t>Pajak Air Tanah</t>
  </si>
  <si>
    <t>Pajak Mineral Bukan Logam dan Batuan</t>
  </si>
  <si>
    <t>Pajak Bumi dan Bangunan Perdesaan dan Perkotaan (PBB-P2)</t>
  </si>
  <si>
    <t>Bea Perolehan Hak Atas Tanah dan Bangunan (BPHTB)</t>
  </si>
  <si>
    <t>Pajak Barang dan Jasa Tertentu (PBJT)</t>
  </si>
  <si>
    <t>PBJT Makanan dan/atau Minuman</t>
  </si>
  <si>
    <t>PBJT Tenaga Listrik</t>
  </si>
  <si>
    <t>PBJT Jasa Perhotelan</t>
  </si>
  <si>
    <t>PBJT Jasa Parkir</t>
  </si>
  <si>
    <t>PBJT Jasa Kesenian dan Hiburan</t>
  </si>
  <si>
    <t>Opsen Pajak Kendaraan Bermotor (PKB)</t>
  </si>
  <si>
    <t>Opsen Bea Balik Nama Kendaraan Bermotor (BBNKB)</t>
  </si>
  <si>
    <t>REALISASI</t>
  </si>
  <si>
    <t>TARGET</t>
  </si>
  <si>
    <t>PENETAPAN TARGET</t>
  </si>
  <si>
    <t>LEBIH/(KURANG)</t>
  </si>
  <si>
    <t>LEBIH KURANG MENYESUAIKAN REALISASI DENGAN TARGET TRIBULAN BERJALAN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</si>
</sst>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\-#,##0.00\ 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sz val="10"/>
      <name val="Bookman Old Style"/>
      <family val="1"/>
    </font>
    <font>
      <i/>
      <sz val="10"/>
      <name val="Bookman Old Style"/>
      <family val="1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1" fillId="0" borderId="0" xfId="0" applyFont="1"/>
    <xf numFmtId="0" fontId="1" fillId="2" borderId="0" xfId="0" applyFont="1" applyFill="1"/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vertical="center"/>
    </xf>
    <xf numFmtId="164" fontId="2" fillId="0" borderId="1" xfId="0" applyNumberFormat="1" applyFont="1" applyBorder="1" applyAlignment="1">
      <alignment horizontal="right" vertical="center"/>
    </xf>
    <xf numFmtId="4" fontId="3" fillId="0" borderId="1" xfId="0" applyNumberFormat="1" applyFont="1" applyBorder="1" applyAlignment="1">
      <alignment horizontal="left" vertical="center" wrapText="1" indent="1"/>
    </xf>
    <xf numFmtId="39" fontId="3" fillId="0" borderId="1" xfId="0" applyNumberFormat="1" applyFont="1" applyBorder="1" applyAlignment="1">
      <alignment horizontal="right" vertical="center" wrapText="1"/>
    </xf>
    <xf numFmtId="4" fontId="3" fillId="0" borderId="1" xfId="0" applyNumberFormat="1" applyFont="1" applyBorder="1" applyAlignment="1">
      <alignment vertical="center" wrapText="1"/>
    </xf>
    <xf numFmtId="4" fontId="3" fillId="2" borderId="1" xfId="0" applyNumberFormat="1" applyFont="1" applyFill="1" applyBorder="1" applyAlignment="1">
      <alignment horizontal="center" vertical="center" wrapText="1"/>
    </xf>
    <xf numFmtId="4" fontId="3" fillId="0" borderId="1" xfId="0" applyNumberFormat="1" applyFont="1" applyBorder="1" applyAlignment="1">
      <alignment horizontal="right" vertical="center" wrapText="1"/>
    </xf>
    <xf numFmtId="4" fontId="3" fillId="0" borderId="1" xfId="0" applyNumberFormat="1" applyFont="1" applyBorder="1" applyAlignment="1">
      <alignment horizontal="center" vertical="center" wrapText="1"/>
    </xf>
    <xf numFmtId="39" fontId="4" fillId="0" borderId="1" xfId="0" applyNumberFormat="1" applyFont="1" applyBorder="1" applyAlignment="1">
      <alignment horizontal="right" vertical="center" wrapText="1"/>
    </xf>
    <xf numFmtId="4" fontId="4" fillId="0" borderId="1" xfId="0" applyNumberFormat="1" applyFont="1" applyBorder="1" applyAlignment="1">
      <alignment vertical="center" wrapText="1"/>
    </xf>
    <xf numFmtId="4" fontId="4" fillId="0" borderId="1" xfId="0" applyNumberFormat="1" applyFont="1" applyBorder="1" applyAlignment="1">
      <alignment horizontal="right" vertical="center" wrapText="1"/>
    </xf>
    <xf numFmtId="4" fontId="4" fillId="3" borderId="1" xfId="0" applyNumberFormat="1" applyFont="1" applyFill="1" applyBorder="1" applyAlignment="1">
      <alignment horizontal="left" vertical="center" wrapText="1" indent="1"/>
    </xf>
    <xf numFmtId="0" fontId="2" fillId="0" borderId="0" xfId="0" applyFont="1" applyAlignment="1">
      <alignment horizontal="center" vertical="center"/>
    </xf>
    <xf numFmtId="4" fontId="3" fillId="4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4" fontId="4" fillId="2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64" fontId="2" fillId="5" borderId="1" xfId="0" applyNumberFormat="1" applyFont="1" applyFill="1" applyBorder="1" applyAlignment="1">
      <alignment horizontal="right" vertical="center"/>
    </xf>
    <xf numFmtId="4" fontId="3" fillId="5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C8CC9-552E-4A64-82D2-B1C705C78A61}">
  <dimension ref="A1:V18"/>
  <sheetViews>
    <sheetView tabSelected="1" zoomScale="60" zoomScaleNormal="61" workbookViewId="0">
      <selection activeCell="F5" sqref="F5"/>
    </sheetView>
  </sheetViews>
  <sheetFormatPr defaultRowHeight="14.5" x14ac:dyDescent="0.35"/>
  <cols>
    <col min="1" max="1" width="62.90625" customWidth="1"/>
    <col min="2" max="2" width="26.26953125" customWidth="1"/>
    <col min="3" max="3" width="25.36328125" customWidth="1"/>
    <col min="4" max="4" width="9.1796875" customWidth="1"/>
    <col min="5" max="5" width="22.81640625" customWidth="1"/>
    <col min="6" max="6" width="9.1796875" customWidth="1"/>
    <col min="7" max="7" width="24.36328125" customWidth="1"/>
    <col min="8" max="8" width="9.1796875" customWidth="1"/>
    <col min="9" max="9" width="22.81640625" customWidth="1"/>
    <col min="10" max="10" width="9.1796875" customWidth="1"/>
    <col min="11" max="11" width="23.36328125" customWidth="1"/>
    <col min="12" max="12" width="9.1796875" customWidth="1"/>
    <col min="13" max="13" width="22.81640625" customWidth="1"/>
    <col min="14" max="14" width="9.1796875" customWidth="1"/>
    <col min="15" max="15" width="22.36328125" customWidth="1"/>
    <col min="16" max="16" width="9.1796875" customWidth="1"/>
    <col min="17" max="17" width="22.36328125" customWidth="1"/>
    <col min="18" max="18" width="9.1796875" customWidth="1"/>
    <col min="19" max="19" width="29.36328125" customWidth="1"/>
  </cols>
  <sheetData>
    <row r="1" spans="1:22" s="17" customFormat="1" ht="25.5" customHeight="1" x14ac:dyDescent="0.35">
      <c r="A1" s="26" t="s">
        <v>0</v>
      </c>
      <c r="B1" s="28" t="s">
        <v>1</v>
      </c>
      <c r="C1" s="28" t="s">
        <v>2</v>
      </c>
      <c r="D1" s="28"/>
      <c r="E1" s="28"/>
      <c r="F1" s="28"/>
      <c r="G1" s="28" t="s">
        <v>4</v>
      </c>
      <c r="H1" s="28"/>
      <c r="I1" s="28"/>
      <c r="J1" s="28"/>
      <c r="K1" s="28" t="s">
        <v>5</v>
      </c>
      <c r="L1" s="28"/>
      <c r="M1" s="28"/>
      <c r="N1" s="28"/>
      <c r="O1" s="28" t="s">
        <v>6</v>
      </c>
      <c r="P1" s="28"/>
      <c r="Q1" s="28"/>
      <c r="R1" s="28"/>
      <c r="S1" s="28" t="s">
        <v>24</v>
      </c>
    </row>
    <row r="2" spans="1:22" s="2" customFormat="1" ht="24.5" customHeight="1" x14ac:dyDescent="0.35">
      <c r="A2" s="27"/>
      <c r="B2" s="28"/>
      <c r="C2" s="1" t="s">
        <v>22</v>
      </c>
      <c r="D2" s="1" t="s">
        <v>3</v>
      </c>
      <c r="E2" s="1" t="s">
        <v>21</v>
      </c>
      <c r="F2" s="1" t="s">
        <v>3</v>
      </c>
      <c r="G2" s="1" t="s">
        <v>22</v>
      </c>
      <c r="H2" s="1" t="s">
        <v>3</v>
      </c>
      <c r="I2" s="1" t="s">
        <v>21</v>
      </c>
      <c r="J2" s="1" t="s">
        <v>3</v>
      </c>
      <c r="K2" s="1" t="s">
        <v>22</v>
      </c>
      <c r="L2" s="1" t="s">
        <v>3</v>
      </c>
      <c r="M2" s="1" t="s">
        <v>21</v>
      </c>
      <c r="N2" s="1" t="s">
        <v>3</v>
      </c>
      <c r="O2" s="1" t="s">
        <v>22</v>
      </c>
      <c r="P2" s="1" t="s">
        <v>3</v>
      </c>
      <c r="Q2" s="1" t="s">
        <v>21</v>
      </c>
      <c r="R2" s="1" t="s">
        <v>3</v>
      </c>
      <c r="S2" s="28"/>
      <c r="U2" s="3"/>
      <c r="V2" s="23" t="s">
        <v>23</v>
      </c>
    </row>
    <row r="3" spans="1:22" ht="24.5" customHeight="1" x14ac:dyDescent="0.35">
      <c r="A3" s="4" t="s">
        <v>7</v>
      </c>
      <c r="B3" s="5">
        <f>SUM(B4:B9)+B15+B16</f>
        <v>653283255372.58008</v>
      </c>
      <c r="C3" s="6">
        <f>SUM(C4:C9)+C15+C16</f>
        <v>130227349496.21939</v>
      </c>
      <c r="D3" s="6">
        <f>C3/B3*100</f>
        <v>19.93428553774093</v>
      </c>
      <c r="E3" s="6">
        <f>SUM(E4:E8)+E15+E16</f>
        <v>0</v>
      </c>
      <c r="F3" s="12">
        <f>E3/C3*100</f>
        <v>0</v>
      </c>
      <c r="G3" s="6">
        <f>SUM(G4:G9)+G15+G16</f>
        <v>280209218906.46649</v>
      </c>
      <c r="H3" s="6">
        <f>G3/B3*100</f>
        <v>42.892453863165031</v>
      </c>
      <c r="I3" s="6">
        <f>SUM(I4:I8)+I15+I16</f>
        <v>0</v>
      </c>
      <c r="J3" s="12">
        <f>I3/G3*100</f>
        <v>0</v>
      </c>
      <c r="K3" s="6">
        <f>SUM(K4:K9)+K15+K16</f>
        <v>472641364441.00604</v>
      </c>
      <c r="L3" s="6">
        <f>K3/B3*100</f>
        <v>72.348611502593855</v>
      </c>
      <c r="M3" s="6">
        <f>SUM(M4:M8)+M15+M16</f>
        <v>0</v>
      </c>
      <c r="N3" s="12">
        <f>M3/K3*100</f>
        <v>0</v>
      </c>
      <c r="O3" s="6">
        <f>SUM(O4:O9)+O15+O16</f>
        <v>653283255372.58008</v>
      </c>
      <c r="P3" s="6">
        <f>O3/B3*100</f>
        <v>100</v>
      </c>
      <c r="Q3" s="6">
        <f>SUM(Q4:Q8)+Q15+Q16</f>
        <v>0</v>
      </c>
      <c r="R3" s="12">
        <f>Q3/O3*100</f>
        <v>0</v>
      </c>
      <c r="S3" s="24"/>
      <c r="U3" s="19"/>
      <c r="V3" s="23" t="s">
        <v>21</v>
      </c>
    </row>
    <row r="4" spans="1:22" ht="24.5" customHeight="1" x14ac:dyDescent="0.35">
      <c r="A4" s="7" t="s">
        <v>8</v>
      </c>
      <c r="B4" s="8">
        <v>4275133223.27</v>
      </c>
      <c r="C4" s="9">
        <f>B4*D4/100</f>
        <v>1068783305.8175</v>
      </c>
      <c r="D4" s="10">
        <v>25</v>
      </c>
      <c r="E4" s="18"/>
      <c r="F4" s="12">
        <f>E4/C4*100</f>
        <v>0</v>
      </c>
      <c r="G4" s="9">
        <f>B4*H4/100</f>
        <v>2137566611.635</v>
      </c>
      <c r="H4" s="10">
        <v>50</v>
      </c>
      <c r="I4" s="18"/>
      <c r="J4" s="12">
        <f>I4/G4*100</f>
        <v>0</v>
      </c>
      <c r="K4" s="11">
        <f>B4*L4/100</f>
        <v>3206349917.4524999</v>
      </c>
      <c r="L4" s="10">
        <v>75</v>
      </c>
      <c r="M4" s="18"/>
      <c r="N4" s="12">
        <f t="shared" ref="N4:N16" si="0">M4/K4*100</f>
        <v>0</v>
      </c>
      <c r="O4" s="11">
        <f>B4*P4/100</f>
        <v>4275133223.27</v>
      </c>
      <c r="P4" s="10">
        <v>100</v>
      </c>
      <c r="Q4" s="18"/>
      <c r="R4" s="12">
        <f t="shared" ref="R4:R16" si="1">Q4/O4*100</f>
        <v>0</v>
      </c>
      <c r="S4" s="25"/>
      <c r="U4" s="22" t="s">
        <v>25</v>
      </c>
    </row>
    <row r="5" spans="1:22" ht="24.5" customHeight="1" x14ac:dyDescent="0.35">
      <c r="A5" s="7" t="s">
        <v>9</v>
      </c>
      <c r="B5" s="8">
        <v>50032822919</v>
      </c>
      <c r="C5" s="9">
        <f>B5*D5/100</f>
        <v>11257385156.775</v>
      </c>
      <c r="D5" s="10">
        <v>22.5</v>
      </c>
      <c r="E5" s="18"/>
      <c r="F5" s="12">
        <f t="shared" ref="F4:F16" si="2">E5/C5*100</f>
        <v>0</v>
      </c>
      <c r="G5" s="9">
        <f>B5*H5/100</f>
        <v>22514770313.549999</v>
      </c>
      <c r="H5" s="10">
        <v>45</v>
      </c>
      <c r="I5" s="18"/>
      <c r="J5" s="12">
        <f t="shared" ref="J4:J16" si="3">I5/G5*100</f>
        <v>0</v>
      </c>
      <c r="K5" s="11">
        <f>B5*L5/100</f>
        <v>35022976043.300003</v>
      </c>
      <c r="L5" s="10">
        <v>70</v>
      </c>
      <c r="M5" s="18"/>
      <c r="N5" s="12">
        <f t="shared" si="0"/>
        <v>0</v>
      </c>
      <c r="O5" s="11">
        <f>B5*P5/100</f>
        <v>50032822919</v>
      </c>
      <c r="P5" s="10">
        <v>100</v>
      </c>
      <c r="Q5" s="18"/>
      <c r="R5" s="12">
        <f t="shared" si="1"/>
        <v>0</v>
      </c>
      <c r="S5" s="25"/>
    </row>
    <row r="6" spans="1:22" ht="24.5" customHeight="1" x14ac:dyDescent="0.35">
      <c r="A6" s="7" t="s">
        <v>10</v>
      </c>
      <c r="B6" s="8">
        <v>20804018469</v>
      </c>
      <c r="C6" s="9">
        <f>B6*D6/100</f>
        <v>4680904155.5249996</v>
      </c>
      <c r="D6" s="10">
        <v>22.5</v>
      </c>
      <c r="E6" s="18"/>
      <c r="F6" s="12">
        <f t="shared" si="2"/>
        <v>0</v>
      </c>
      <c r="G6" s="9">
        <f>B6*H6/100</f>
        <v>9361808311.0499992</v>
      </c>
      <c r="H6" s="10">
        <v>45</v>
      </c>
      <c r="I6" s="18"/>
      <c r="J6" s="12">
        <f t="shared" si="3"/>
        <v>0</v>
      </c>
      <c r="K6" s="11">
        <f>B6*L6/100</f>
        <v>14562812928.299999</v>
      </c>
      <c r="L6" s="10">
        <v>70</v>
      </c>
      <c r="M6" s="18"/>
      <c r="N6" s="12">
        <f t="shared" si="0"/>
        <v>0</v>
      </c>
      <c r="O6" s="11">
        <f>B6*P6/100</f>
        <v>20804018469</v>
      </c>
      <c r="P6" s="10">
        <v>100</v>
      </c>
      <c r="Q6" s="18"/>
      <c r="R6" s="12">
        <f t="shared" si="1"/>
        <v>0</v>
      </c>
      <c r="S6" s="25"/>
    </row>
    <row r="7" spans="1:22" ht="24.5" customHeight="1" x14ac:dyDescent="0.35">
      <c r="A7" s="7" t="s">
        <v>11</v>
      </c>
      <c r="B7" s="8">
        <v>107969996373</v>
      </c>
      <c r="C7" s="9">
        <f>B7*D7/100</f>
        <v>21593999274.599998</v>
      </c>
      <c r="D7" s="10">
        <v>20</v>
      </c>
      <c r="E7" s="18"/>
      <c r="F7" s="12">
        <f t="shared" si="2"/>
        <v>0</v>
      </c>
      <c r="G7" s="9">
        <f>B7*H7/100</f>
        <v>43187998549.199997</v>
      </c>
      <c r="H7" s="10">
        <v>40</v>
      </c>
      <c r="I7" s="18"/>
      <c r="J7" s="12">
        <f t="shared" si="3"/>
        <v>0</v>
      </c>
      <c r="K7" s="11">
        <f>B7*L7/100</f>
        <v>80977497279.75</v>
      </c>
      <c r="L7" s="10">
        <v>75</v>
      </c>
      <c r="M7" s="18"/>
      <c r="N7" s="12">
        <f t="shared" si="0"/>
        <v>0</v>
      </c>
      <c r="O7" s="11">
        <f>B7*P7/100</f>
        <v>107969996373</v>
      </c>
      <c r="P7" s="10">
        <v>100</v>
      </c>
      <c r="Q7" s="18"/>
      <c r="R7" s="12">
        <f t="shared" si="1"/>
        <v>0</v>
      </c>
      <c r="S7" s="25"/>
    </row>
    <row r="8" spans="1:22" ht="24.5" customHeight="1" x14ac:dyDescent="0.35">
      <c r="A8" s="7" t="s">
        <v>12</v>
      </c>
      <c r="B8" s="8">
        <v>107120937057</v>
      </c>
      <c r="C8" s="9">
        <f>B8*D8/100</f>
        <v>16068140558.549999</v>
      </c>
      <c r="D8" s="10">
        <v>15</v>
      </c>
      <c r="E8" s="18"/>
      <c r="F8" s="12">
        <f t="shared" si="2"/>
        <v>0</v>
      </c>
      <c r="G8" s="9">
        <f>B8*H8/100</f>
        <v>42848374822.800003</v>
      </c>
      <c r="H8" s="10">
        <v>40</v>
      </c>
      <c r="I8" s="18"/>
      <c r="J8" s="12">
        <f t="shared" si="3"/>
        <v>0</v>
      </c>
      <c r="K8" s="11">
        <f>B8*L8/100</f>
        <v>74984655939.899994</v>
      </c>
      <c r="L8" s="10">
        <v>70</v>
      </c>
      <c r="M8" s="18"/>
      <c r="N8" s="12">
        <f t="shared" si="0"/>
        <v>0</v>
      </c>
      <c r="O8" s="11">
        <f>B8*P8/100</f>
        <v>107120937057</v>
      </c>
      <c r="P8" s="10">
        <v>100</v>
      </c>
      <c r="Q8" s="18"/>
      <c r="R8" s="12">
        <f t="shared" si="1"/>
        <v>0</v>
      </c>
      <c r="S8" s="25"/>
    </row>
    <row r="9" spans="1:22" ht="24.5" customHeight="1" x14ac:dyDescent="0.35">
      <c r="A9" s="7" t="s">
        <v>13</v>
      </c>
      <c r="B9" s="8">
        <f>SUM(B10:B14)</f>
        <v>239976870831.31</v>
      </c>
      <c r="C9" s="9">
        <f>SUM(C10:C14)</f>
        <v>55122687229.951897</v>
      </c>
      <c r="D9" s="12">
        <f>C9/B9*100</f>
        <v>22.969999999999995</v>
      </c>
      <c r="E9" s="11">
        <f>SUM(E10:E14)</f>
        <v>0</v>
      </c>
      <c r="F9" s="12">
        <f t="shared" si="2"/>
        <v>0</v>
      </c>
      <c r="G9" s="9">
        <f>SUM(G10:G14)</f>
        <v>110917309698.23149</v>
      </c>
      <c r="H9" s="12">
        <f>G9/B9*100</f>
        <v>46.220000000000006</v>
      </c>
      <c r="I9" s="11">
        <f>SUM(I10:I14)</f>
        <v>0</v>
      </c>
      <c r="J9" s="12">
        <f t="shared" si="3"/>
        <v>0</v>
      </c>
      <c r="K9" s="11">
        <f>SUM(K10:K14)</f>
        <v>171559464957.30353</v>
      </c>
      <c r="L9" s="12">
        <f>K9/B9*100</f>
        <v>71.490000000000009</v>
      </c>
      <c r="M9" s="11">
        <f>SUM(M10:M14)</f>
        <v>0</v>
      </c>
      <c r="N9" s="12">
        <f t="shared" si="0"/>
        <v>0</v>
      </c>
      <c r="O9" s="11">
        <f>SUM(O10:O14)</f>
        <v>239976870831.31</v>
      </c>
      <c r="P9" s="12">
        <f>O9/B9*100</f>
        <v>100</v>
      </c>
      <c r="Q9" s="11">
        <f>SUM(Q10:Q14)</f>
        <v>0</v>
      </c>
      <c r="R9" s="12">
        <f t="shared" si="1"/>
        <v>0</v>
      </c>
      <c r="S9" s="25"/>
    </row>
    <row r="10" spans="1:22" ht="24.5" customHeight="1" x14ac:dyDescent="0.35">
      <c r="A10" s="16" t="s">
        <v>14</v>
      </c>
      <c r="B10" s="13">
        <v>41378696985.610001</v>
      </c>
      <c r="C10" s="14">
        <f t="shared" ref="C10:C16" si="4">B10*D10/100</f>
        <v>9504686697.5946159</v>
      </c>
      <c r="D10" s="20">
        <v>22.97</v>
      </c>
      <c r="E10" s="21"/>
      <c r="F10" s="12">
        <f t="shared" si="2"/>
        <v>0</v>
      </c>
      <c r="G10" s="14">
        <f t="shared" ref="G10:G16" si="5">B10*H10/100</f>
        <v>19125233746.748943</v>
      </c>
      <c r="H10" s="20">
        <v>46.22</v>
      </c>
      <c r="I10" s="21"/>
      <c r="J10" s="12">
        <f t="shared" si="3"/>
        <v>0</v>
      </c>
      <c r="K10" s="15">
        <f t="shared" ref="K10:K16" si="6">B10*L10/100</f>
        <v>29581630475.012589</v>
      </c>
      <c r="L10" s="20">
        <v>71.489999999999995</v>
      </c>
      <c r="M10" s="21"/>
      <c r="N10" s="12">
        <f t="shared" si="0"/>
        <v>0</v>
      </c>
      <c r="O10" s="15">
        <f t="shared" ref="O10:O16" si="7">B10*P10/100</f>
        <v>41378696985.610001</v>
      </c>
      <c r="P10" s="10">
        <v>100</v>
      </c>
      <c r="Q10" s="21"/>
      <c r="R10" s="12">
        <f t="shared" si="1"/>
        <v>0</v>
      </c>
      <c r="S10" s="25"/>
    </row>
    <row r="11" spans="1:22" ht="24.5" customHeight="1" x14ac:dyDescent="0.35">
      <c r="A11" s="16" t="s">
        <v>15</v>
      </c>
      <c r="B11" s="13">
        <v>168435917755.20001</v>
      </c>
      <c r="C11" s="14">
        <f t="shared" si="4"/>
        <v>38689730308.369438</v>
      </c>
      <c r="D11" s="20">
        <v>22.97</v>
      </c>
      <c r="E11" s="21"/>
      <c r="F11" s="12">
        <f t="shared" si="2"/>
        <v>0</v>
      </c>
      <c r="G11" s="14">
        <f t="shared" si="5"/>
        <v>77851081186.453445</v>
      </c>
      <c r="H11" s="20">
        <v>46.22</v>
      </c>
      <c r="I11" s="21"/>
      <c r="J11" s="12">
        <f t="shared" si="3"/>
        <v>0</v>
      </c>
      <c r="K11" s="15">
        <f t="shared" si="6"/>
        <v>120414837603.19247</v>
      </c>
      <c r="L11" s="20">
        <v>71.489999999999995</v>
      </c>
      <c r="M11" s="21"/>
      <c r="N11" s="12">
        <f t="shared" si="0"/>
        <v>0</v>
      </c>
      <c r="O11" s="15">
        <f t="shared" si="7"/>
        <v>168435917755.20001</v>
      </c>
      <c r="P11" s="10">
        <v>100</v>
      </c>
      <c r="Q11" s="21"/>
      <c r="R11" s="12">
        <f t="shared" si="1"/>
        <v>0</v>
      </c>
      <c r="S11" s="25"/>
    </row>
    <row r="12" spans="1:22" ht="24.5" customHeight="1" x14ac:dyDescent="0.35">
      <c r="A12" s="16" t="s">
        <v>16</v>
      </c>
      <c r="B12" s="13">
        <v>13016383831</v>
      </c>
      <c r="C12" s="14">
        <f t="shared" si="4"/>
        <v>2989863365.9807</v>
      </c>
      <c r="D12" s="20">
        <v>22.97</v>
      </c>
      <c r="E12" s="21"/>
      <c r="F12" s="12">
        <f t="shared" si="2"/>
        <v>0</v>
      </c>
      <c r="G12" s="14">
        <f t="shared" si="5"/>
        <v>6016172606.688199</v>
      </c>
      <c r="H12" s="20">
        <v>46.22</v>
      </c>
      <c r="I12" s="21"/>
      <c r="J12" s="12">
        <f t="shared" si="3"/>
        <v>0</v>
      </c>
      <c r="K12" s="15">
        <f t="shared" si="6"/>
        <v>9305412800.7818985</v>
      </c>
      <c r="L12" s="20">
        <v>71.489999999999995</v>
      </c>
      <c r="M12" s="21"/>
      <c r="N12" s="12">
        <f t="shared" si="0"/>
        <v>0</v>
      </c>
      <c r="O12" s="15">
        <f t="shared" si="7"/>
        <v>13016383831</v>
      </c>
      <c r="P12" s="10">
        <v>100</v>
      </c>
      <c r="Q12" s="21"/>
      <c r="R12" s="12">
        <f t="shared" si="1"/>
        <v>0</v>
      </c>
      <c r="S12" s="25"/>
    </row>
    <row r="13" spans="1:22" ht="24.5" customHeight="1" x14ac:dyDescent="0.35">
      <c r="A13" s="16" t="s">
        <v>17</v>
      </c>
      <c r="B13" s="13">
        <v>766375791.5</v>
      </c>
      <c r="C13" s="14">
        <f t="shared" si="4"/>
        <v>176036519.30754998</v>
      </c>
      <c r="D13" s="20">
        <v>22.97</v>
      </c>
      <c r="E13" s="21"/>
      <c r="F13" s="12">
        <f t="shared" si="2"/>
        <v>0</v>
      </c>
      <c r="G13" s="14">
        <f t="shared" si="5"/>
        <v>354218890.83129996</v>
      </c>
      <c r="H13" s="20">
        <v>46.22</v>
      </c>
      <c r="I13" s="21"/>
      <c r="J13" s="12">
        <f t="shared" si="3"/>
        <v>0</v>
      </c>
      <c r="K13" s="15">
        <f t="shared" si="6"/>
        <v>547882053.34334993</v>
      </c>
      <c r="L13" s="20">
        <v>71.489999999999995</v>
      </c>
      <c r="M13" s="21"/>
      <c r="N13" s="12">
        <f t="shared" si="0"/>
        <v>0</v>
      </c>
      <c r="O13" s="15">
        <f t="shared" si="7"/>
        <v>766375791.5</v>
      </c>
      <c r="P13" s="10">
        <v>100</v>
      </c>
      <c r="Q13" s="21"/>
      <c r="R13" s="12">
        <f t="shared" si="1"/>
        <v>0</v>
      </c>
      <c r="S13" s="25"/>
    </row>
    <row r="14" spans="1:22" ht="24.5" customHeight="1" x14ac:dyDescent="0.35">
      <c r="A14" s="16" t="s">
        <v>18</v>
      </c>
      <c r="B14" s="13">
        <v>16379496468</v>
      </c>
      <c r="C14" s="14">
        <f t="shared" si="4"/>
        <v>3762370338.6995997</v>
      </c>
      <c r="D14" s="20">
        <v>22.97</v>
      </c>
      <c r="E14" s="21"/>
      <c r="F14" s="12">
        <f t="shared" si="2"/>
        <v>0</v>
      </c>
      <c r="G14" s="14">
        <f t="shared" si="5"/>
        <v>7570603267.5095997</v>
      </c>
      <c r="H14" s="20">
        <v>46.22</v>
      </c>
      <c r="I14" s="21"/>
      <c r="J14" s="12">
        <f t="shared" si="3"/>
        <v>0</v>
      </c>
      <c r="K14" s="15">
        <f t="shared" si="6"/>
        <v>11709702024.973198</v>
      </c>
      <c r="L14" s="20">
        <v>71.489999999999995</v>
      </c>
      <c r="M14" s="21"/>
      <c r="N14" s="12">
        <f t="shared" si="0"/>
        <v>0</v>
      </c>
      <c r="O14" s="15">
        <f t="shared" si="7"/>
        <v>16379496468</v>
      </c>
      <c r="P14" s="10">
        <v>100</v>
      </c>
      <c r="Q14" s="21"/>
      <c r="R14" s="12">
        <f t="shared" si="1"/>
        <v>0</v>
      </c>
      <c r="S14" s="25"/>
    </row>
    <row r="15" spans="1:22" ht="24.5" customHeight="1" x14ac:dyDescent="0.35">
      <c r="A15" s="7" t="s">
        <v>19</v>
      </c>
      <c r="B15" s="8">
        <v>83704909700</v>
      </c>
      <c r="C15" s="9">
        <f t="shared" si="4"/>
        <v>12555736455</v>
      </c>
      <c r="D15" s="10">
        <v>15</v>
      </c>
      <c r="E15" s="18"/>
      <c r="F15" s="12">
        <f t="shared" si="2"/>
        <v>0</v>
      </c>
      <c r="G15" s="9">
        <f t="shared" si="5"/>
        <v>33481963880</v>
      </c>
      <c r="H15" s="10">
        <v>40</v>
      </c>
      <c r="I15" s="18"/>
      <c r="J15" s="12">
        <f t="shared" si="3"/>
        <v>0</v>
      </c>
      <c r="K15" s="11">
        <f t="shared" si="6"/>
        <v>62778682275</v>
      </c>
      <c r="L15" s="10">
        <v>75</v>
      </c>
      <c r="M15" s="18"/>
      <c r="N15" s="12">
        <f t="shared" si="0"/>
        <v>0</v>
      </c>
      <c r="O15" s="11">
        <f t="shared" si="7"/>
        <v>83704909700</v>
      </c>
      <c r="P15" s="10">
        <v>100</v>
      </c>
      <c r="Q15" s="18"/>
      <c r="R15" s="12">
        <f t="shared" si="1"/>
        <v>0</v>
      </c>
      <c r="S15" s="25"/>
    </row>
    <row r="16" spans="1:22" ht="24.5" customHeight="1" x14ac:dyDescent="0.35">
      <c r="A16" s="7" t="s">
        <v>20</v>
      </c>
      <c r="B16" s="8">
        <v>39398566800</v>
      </c>
      <c r="C16" s="9">
        <f t="shared" si="4"/>
        <v>7879713360</v>
      </c>
      <c r="D16" s="10">
        <v>20</v>
      </c>
      <c r="E16" s="18"/>
      <c r="F16" s="12">
        <f t="shared" si="2"/>
        <v>0</v>
      </c>
      <c r="G16" s="9">
        <f t="shared" si="5"/>
        <v>15759426720</v>
      </c>
      <c r="H16" s="10">
        <v>40</v>
      </c>
      <c r="I16" s="18"/>
      <c r="J16" s="12">
        <f t="shared" si="3"/>
        <v>0</v>
      </c>
      <c r="K16" s="11">
        <f t="shared" si="6"/>
        <v>29548925100</v>
      </c>
      <c r="L16" s="10">
        <v>75</v>
      </c>
      <c r="M16" s="18"/>
      <c r="N16" s="12">
        <f t="shared" si="0"/>
        <v>0</v>
      </c>
      <c r="O16" s="11">
        <f t="shared" si="7"/>
        <v>39398566800</v>
      </c>
      <c r="P16" s="10">
        <v>100</v>
      </c>
      <c r="Q16" s="18"/>
      <c r="R16" s="12">
        <f t="shared" si="1"/>
        <v>0</v>
      </c>
      <c r="S16" s="25"/>
    </row>
    <row r="17" ht="24.5" customHeight="1" x14ac:dyDescent="0.35"/>
    <row r="18" ht="24.5" customHeight="1" x14ac:dyDescent="0.35"/>
  </sheetData>
  <mergeCells count="7">
    <mergeCell ref="A1:A2"/>
    <mergeCell ref="B1:B2"/>
    <mergeCell ref="S1:S2"/>
    <mergeCell ref="C1:F1"/>
    <mergeCell ref="O1:R1"/>
    <mergeCell ref="K1:N1"/>
    <mergeCell ref="G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PENGEMBANGAN BAPENDA KAB. PASURUAN</dc:creator>
  <cp:lastModifiedBy>PENGEMBANGAN BAPENDA KAB. PASURUAN</cp:lastModifiedBy>
  <dcterms:created xsi:type="dcterms:W3CDTF">2026-03-16T04:29:46Z</dcterms:created>
  <dcterms:modified xsi:type="dcterms:W3CDTF">2026-03-16T05:29:57Z</dcterms:modified>
</cp:coreProperties>
</file>